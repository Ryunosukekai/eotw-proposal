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yu/Documents/Claude/"/>
    </mc:Choice>
  </mc:AlternateContent>
  <xr:revisionPtr revIDLastSave="0" documentId="13_ncr:1_{6C30A6E0-0D2F-1840-A9EA-EE72CD61EC3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サマリー" sheetId="1" r:id="rId1"/>
    <sheet name="ページ移行一覧" sheetId="2" r:id="rId2"/>
    <sheet name="新規ページ要件" sheetId="3" r:id="rId3"/>
  </sheets>
  <definedNames>
    <definedName name="_xlnm._FilterDatabase" localSheetId="1" hidden="1">ページ移行一覧!$A$1:$I$30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1" i="2" l="1"/>
  <c r="C27" i="1"/>
  <c r="C25" i="1"/>
  <c r="C24" i="1"/>
  <c r="C23" i="1"/>
  <c r="C22" i="1"/>
  <c r="C18" i="1"/>
  <c r="C26" i="1" l="1"/>
  <c r="C28" i="1" s="1"/>
</calcChain>
</file>

<file path=xl/sharedStrings.xml><?xml version="1.0" encoding="utf-8"?>
<sst xmlns="http://schemas.openxmlformats.org/spreadsheetml/2006/main" count="272" uniqueCount="189">
  <si>
    <t>EO Tokyo West ｜ サイトリニューアル ページ移行一覧</t>
  </si>
  <si>
    <t>対象：eotokyowest.org（現状 全181URL）／出典：公式サイトマップ実測 2026年6月／作成：株式会社Galante</t>
  </si>
  <si>
    <t>① 現状のページ構成</t>
  </si>
  <si>
    <t>種別</t>
  </si>
  <si>
    <t>件数</t>
  </si>
  <si>
    <t>内容</t>
  </si>
  <si>
    <t>固定ページ</t>
  </si>
  <si>
    <t>トップ・ブログ・問合せ・入会案内・フォーム処理</t>
  </si>
  <si>
    <t>About EO（EO紹介）</t>
  </si>
  <si>
    <t>West/Japan/Global紹介・歴代会長・理事・メンバー一覧 等</t>
  </si>
  <si>
    <t>組織情報</t>
  </si>
  <si>
    <t>入会方法・ゲスト参加・入会金/年会費</t>
  </si>
  <si>
    <t>活動紹介</t>
  </si>
  <si>
    <t>月例会・フォーラム・メンターシップ・MyEO</t>
  </si>
  <si>
    <t>メンバー個別</t>
  </si>
  <si>
    <t>会員プロフィール（最大の資産）</t>
  </si>
  <si>
    <t>ニュース記事</t>
  </si>
  <si>
    <t>例会・活動レポート</t>
  </si>
  <si>
    <t>理事 個別</t>
  </si>
  <si>
    <t>各理事のプロフィール</t>
  </si>
  <si>
    <t>歴代会長 個別</t>
  </si>
  <si>
    <t>各会長のプロフィール</t>
  </si>
  <si>
    <t>旧投稿(post)</t>
  </si>
  <si>
    <t>旧形式の例会投稿（重複）</t>
  </si>
  <si>
    <t>アーカイブ news_category</t>
  </si>
  <si>
    <t>記事分類アーカイブ</t>
  </si>
  <si>
    <t>アーカイブ category</t>
  </si>
  <si>
    <t>旧分類アーカイブ（未使用）</t>
  </si>
  <si>
    <t>旧About URL（abouteo）</t>
  </si>
  <si>
    <t>現 /about-eo/* の旧版（重複）</t>
  </si>
  <si>
    <t>合計</t>
  </si>
  <si>
    <t>全URL数</t>
  </si>
  <si>
    <t>② 移行ステータス別の内訳</t>
  </si>
  <si>
    <t>対応</t>
  </si>
  <si>
    <t>維持</t>
  </si>
  <si>
    <t>現状のまま活用する</t>
  </si>
  <si>
    <t>改修</t>
  </si>
  <si>
    <t>残すがデザイン・内容を刷新する</t>
  </si>
  <si>
    <t>統合</t>
  </si>
  <si>
    <t>他ページへ統合する</t>
  </si>
  <si>
    <t>撤去</t>
  </si>
  <si>
    <t>削除する（301リダイレクト）</t>
  </si>
  <si>
    <t>現状 小計</t>
  </si>
  <si>
    <t>（撤去前の現状181と一致）</t>
  </si>
  <si>
    <t>新規</t>
  </si>
  <si>
    <t>新規制作するページ</t>
  </si>
  <si>
    <t>移行後 総URL（概算）</t>
  </si>
  <si>
    <t>現状 − 撤去 − 統合 + 新規</t>
  </si>
  <si>
    <t>凡例（対応の色）</t>
  </si>
  <si>
    <t>No.</t>
  </si>
  <si>
    <t>分類</t>
  </si>
  <si>
    <t>現状URL（パス）</t>
  </si>
  <si>
    <t>ページ名</t>
  </si>
  <si>
    <t>ページ内容</t>
  </si>
  <si>
    <t>新URL / 対応内容</t>
  </si>
  <si>
    <t>備考</t>
  </si>
  <si>
    <t>/</t>
  </si>
  <si>
    <t>トップ</t>
  </si>
  <si>
    <t>サイトの玄関。全体を集約し各セクションへ誘導</t>
  </si>
  <si>
    <t>コンデナスト型に全面刷新</t>
  </si>
  <si>
    <t>最重要</t>
  </si>
  <si>
    <t>/blog/</t>
  </si>
  <si>
    <t>ブログ一覧</t>
  </si>
  <si>
    <t>お知らせ・活動報告の記事一覧</t>
  </si>
  <si>
    <t>カテゴリ再設計（例会報告/MyEO/活動報告）</t>
  </si>
  <si>
    <t>/contact/</t>
  </si>
  <si>
    <t>お問い合わせ</t>
  </si>
  <si>
    <t>問い合わせフォーム（氏名/会社/連絡先/内容）</t>
  </si>
  <si>
    <t>/joinus/</t>
  </si>
  <si>
    <t>入会案内</t>
  </si>
  <si>
    <t>入会検討者向けハブ（3導線）</t>
  </si>
  <si>
    <t>/completion/</t>
  </si>
  <si>
    <t>送信完了</t>
  </si>
  <si>
    <t>フォーム送信完了画面</t>
  </si>
  <si>
    <t>noindex推奨</t>
  </si>
  <si>
    <t>直接アクセス不可</t>
  </si>
  <si>
    <t>/verification/</t>
  </si>
  <si>
    <t>入力確認</t>
  </si>
  <si>
    <t>フォーム入力確認画面</t>
  </si>
  <si>
    <t>/error/</t>
  </si>
  <si>
    <t>エラー</t>
  </si>
  <si>
    <t>フォーム送信エラー画面</t>
  </si>
  <si>
    <t>About EO</t>
  </si>
  <si>
    <t>/about-eo/abouteotokyowest/</t>
  </si>
  <si>
    <t>EO Tokyo Westとは</t>
  </si>
  <si>
    <t>自支部の紹介</t>
  </si>
  <si>
    <t>/about-eo/abouteojapan/</t>
  </si>
  <si>
    <t>EO Japanとは</t>
  </si>
  <si>
    <t>日本全国組織の紹介</t>
  </si>
  <si>
    <t>/about-eo/abouteoglobal/</t>
  </si>
  <si>
    <t>EO Globalとは</t>
  </si>
  <si>
    <t>世界組織の紹介</t>
  </si>
  <si>
    <t>/about-eo/chairman/</t>
  </si>
  <si>
    <t>歴代会長</t>
  </si>
  <si>
    <t>歴代会長の一覧</t>
  </si>
  <si>
    <t>Westヒストリーへ統合</t>
  </si>
  <si>
    <t>新ページに吸収</t>
  </si>
  <si>
    <t>/about-eo/accelerator/</t>
  </si>
  <si>
    <t>アクセラレーター</t>
  </si>
  <si>
    <t>若手起業家支援プログラム</t>
  </si>
  <si>
    <t>/about-eo/westmember/</t>
  </si>
  <si>
    <t>メンバー紹介(一覧)</t>
  </si>
  <si>
    <t>会員一覧ページ</t>
  </si>
  <si>
    <t>ポートフォリオ型に刷新</t>
  </si>
  <si>
    <t>Westの強み</t>
  </si>
  <si>
    <t>/about-eo/9th-term-directors/</t>
  </si>
  <si>
    <t>理事体制</t>
  </si>
  <si>
    <t>第9期の理事紹介</t>
  </si>
  <si>
    <t>/directors/ へ汎用URL化</t>
  </si>
  <si>
    <t>期番号を外す</t>
  </si>
  <si>
    <t>/organization/howto-join/</t>
  </si>
  <si>
    <t>入会方法</t>
  </si>
  <si>
    <t>入会基準・流れ</t>
  </si>
  <si>
    <t>/organization/guests/</t>
  </si>
  <si>
    <t>ゲスト参加</t>
  </si>
  <si>
    <t>ゲスト参加の案内</t>
  </si>
  <si>
    <t>/organization/members-fee/</t>
  </si>
  <si>
    <t>入会金・年会費</t>
  </si>
  <si>
    <t>費用の案内</t>
  </si>
  <si>
    <t>/activities/monthly-meeting/</t>
  </si>
  <si>
    <t>月例会</t>
  </si>
  <si>
    <t>毎月の定例会</t>
  </si>
  <si>
    <t>/activities/forum/</t>
  </si>
  <si>
    <t>フォーラム</t>
  </si>
  <si>
    <t>少人数の対話チーム</t>
  </si>
  <si>
    <t>/activities/mentorship/</t>
  </si>
  <si>
    <t>メンターシップ</t>
  </si>
  <si>
    <t>経営者による伴走支援</t>
  </si>
  <si>
    <t>/activities/myeo/</t>
  </si>
  <si>
    <t>MyEO</t>
  </si>
  <si>
    <t>有志グループ活動</t>
  </si>
  <si>
    <t>コンテンツ資産</t>
  </si>
  <si>
    <t>/member/ （91名）</t>
  </si>
  <si>
    <t>会員プロフィール（個別ページ）</t>
  </si>
  <si>
    <t>テンプレート刷新（ポートフォリオ連動）</t>
  </si>
  <si>
    <t>主力資産。テンプレ1本で一括</t>
  </si>
  <si>
    <t>/news/ （34本）</t>
  </si>
  <si>
    <t>ブログへ集約</t>
  </si>
  <si>
    <t>/director/ （14名）</t>
  </si>
  <si>
    <t>/chairman/ （8名）</t>
  </si>
  <si>
    <t>ヒストリー配下に整理</t>
  </si>
  <si>
    <t>/monthly-2023-7 ほか</t>
  </si>
  <si>
    <t>旧形式の例会投稿</t>
  </si>
  <si>
    <t>news重複 → 301リダイレクト</t>
  </si>
  <si>
    <t>アーカイブ</t>
  </si>
  <si>
    <t>/news_category/ （3）</t>
  </si>
  <si>
    <t>ニュースカテゴリ</t>
  </si>
  <si>
    <t>記事分類のアーカイブ</t>
  </si>
  <si>
    <t>新カテゴリ設計に合わせ再構成</t>
  </si>
  <si>
    <t>/category/info_monthly/</t>
  </si>
  <si>
    <t>旧カテゴリ</t>
  </si>
  <si>
    <t>未使用の分類アーカイブ</t>
  </si>
  <si>
    <t>未使用</t>
  </si>
  <si>
    <t>/abouteo/ （6）</t>
  </si>
  <si>
    <t>旧About URL</t>
  </si>
  <si>
    <t>301リダイレクト</t>
  </si>
  <si>
    <t>重複URL</t>
  </si>
  <si>
    <t>現状 合計 URL数</t>
  </si>
  <si>
    <t>URL案</t>
  </si>
  <si>
    <t>目的</t>
  </si>
  <si>
    <t>主な掲載内容</t>
  </si>
  <si>
    <t>優先度</t>
  </si>
  <si>
    <t>会長メッセージ</t>
  </si>
  <si>
    <t>/about-eo/message/</t>
  </si>
  <si>
    <t>現会長の方針・想いを伝える</t>
  </si>
  <si>
    <t>会長写真／メッセージ全文／略歴</t>
  </si>
  <si>
    <t>高</t>
  </si>
  <si>
    <t>Westを知る動線の起点</t>
  </si>
  <si>
    <t>Westヒストリー</t>
  </si>
  <si>
    <t>/about-eo/history/</t>
  </si>
  <si>
    <t>設立経緯・沿革・オリジンを伝える</t>
  </si>
  <si>
    <t>年表／創設ストーリー／歴代会長の系譜</t>
  </si>
  <si>
    <t>独自性の核。歴代会長を統合</t>
  </si>
  <si>
    <t>ラーニング</t>
  </si>
  <si>
    <t>/activities/learning/</t>
  </si>
  <si>
    <t>学習プログラムを紹介</t>
  </si>
  <si>
    <t>概要／3カテゴリ／開催実績</t>
  </si>
  <si>
    <t>中</t>
  </si>
  <si>
    <t>活動5本の欠落を補完</t>
  </si>
  <si>
    <t>活動トップ</t>
  </si>
  <si>
    <t>/activities/</t>
  </si>
  <si>
    <t>5つの活動を束ねるハブ</t>
  </si>
  <si>
    <t>5活動カード／各詳細への導線</t>
  </si>
  <si>
    <t>回遊性を高める</t>
  </si>
  <si>
    <t>プライバシーポリシー</t>
  </si>
  <si>
    <t>/privacy-policy/</t>
  </si>
  <si>
    <t>個人情報保護方針を明示</t>
  </si>
  <si>
    <t>方針全文</t>
  </si>
  <si>
    <t>法務上必須。現状欠落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</si>
</sst>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体"/>
      <family val="2"/>
    </font>
    <font>
      <b/>
      <sz val="15"/>
      <color rgb="FF1F2B46"/>
      <name val="Meiryo"/>
      <family val="2"/>
      <charset val="128"/>
    </font>
    <font>
      <sz val="9"/>
      <color rgb="FF666666"/>
      <name val="Meiryo"/>
      <family val="2"/>
      <charset val="128"/>
    </font>
    <font>
      <b/>
      <sz val="11"/>
      <color rgb="FFFFFFFF"/>
      <name val="Meiryo"/>
      <family val="2"/>
      <charset val="128"/>
    </font>
    <font>
      <sz val="10"/>
      <color rgb="FF000000"/>
      <name val="Meiryo"/>
      <family val="2"/>
      <charset val="128"/>
    </font>
    <font>
      <b/>
      <sz val="10"/>
      <color rgb="FFFFFFFF"/>
      <name val="Meiryo"/>
      <family val="2"/>
      <charset val="128"/>
    </font>
    <font>
      <sz val="9"/>
      <color rgb="FF555555"/>
      <name val="Meiryo"/>
      <family val="2"/>
      <charset val="128"/>
    </font>
    <font>
      <b/>
      <sz val="10"/>
      <color rgb="FF000000"/>
      <name val="Meiryo"/>
      <family val="2"/>
      <charset val="128"/>
    </font>
    <font>
      <b/>
      <sz val="10"/>
      <color rgb="FF1F2B46"/>
      <name val="Meiryo"/>
      <family val="2"/>
      <charset val="128"/>
    </font>
    <font>
      <sz val="9"/>
      <color rgb="FF000000"/>
      <name val="Meiryo"/>
      <family val="2"/>
      <charset val="128"/>
    </font>
    <font>
      <b/>
      <sz val="9"/>
      <color rgb="FF000000"/>
      <name val="Meiryo"/>
      <family val="2"/>
      <charset val="128"/>
    </font>
    <font>
      <sz val="6"/>
      <name val="Tsukushi A Round Gothic Bold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F2B46"/>
        <bgColor rgb="FF003366"/>
      </patternFill>
    </fill>
    <fill>
      <patternFill patternType="solid">
        <fgColor rgb="FFFFF2CC"/>
        <bgColor rgb="FFFCE9D6"/>
      </patternFill>
    </fill>
    <fill>
      <patternFill patternType="solid">
        <fgColor rgb="FFE2EFDA"/>
        <bgColor rgb="FFECECEC"/>
      </patternFill>
    </fill>
    <fill>
      <patternFill patternType="solid">
        <fgColor rgb="FFDDEBF7"/>
        <bgColor rgb="FFECECEC"/>
      </patternFill>
    </fill>
    <fill>
      <patternFill patternType="solid">
        <fgColor rgb="FFECECEC"/>
        <bgColor rgb="FFE2EFDA"/>
      </patternFill>
    </fill>
    <fill>
      <patternFill patternType="solid">
        <fgColor rgb="FFFCE4E4"/>
        <bgColor rgb="FFFCE9D6"/>
      </patternFill>
    </fill>
    <fill>
      <patternFill patternType="solid">
        <fgColor rgb="FFFCE9D6"/>
        <bgColor rgb="FFFCE4E4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E2EFDA"/>
      <rgbColor rgb="FFFCE9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2B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5"/>
  <sheetViews>
    <sheetView tabSelected="1" zoomScaleNormal="100" workbookViewId="0">
      <selection activeCell="B9" sqref="B9"/>
    </sheetView>
  </sheetViews>
  <sheetFormatPr baseColWidth="10" defaultColWidth="7.6640625" defaultRowHeight="14"/>
  <cols>
    <col min="1" max="1" width="3.5" customWidth="1"/>
    <col min="2" max="2" width="69" customWidth="1"/>
    <col min="3" max="3" width="8.83203125" customWidth="1"/>
    <col min="4" max="4" width="65" customWidth="1"/>
  </cols>
  <sheetData>
    <row r="1" spans="2:4" ht="104">
      <c r="B1" s="1" t="s">
        <v>0</v>
      </c>
    </row>
    <row r="2" spans="2:4" ht="68">
      <c r="B2" s="2" t="s">
        <v>1</v>
      </c>
    </row>
    <row r="4" spans="2:4" ht="20">
      <c r="B4" s="3" t="s">
        <v>2</v>
      </c>
      <c r="C4" s="4"/>
      <c r="D4" s="4"/>
    </row>
    <row r="5" spans="2:4" ht="18">
      <c r="B5" s="5" t="s">
        <v>3</v>
      </c>
      <c r="C5" s="5" t="s">
        <v>4</v>
      </c>
      <c r="D5" s="5" t="s">
        <v>5</v>
      </c>
    </row>
    <row r="6" spans="2:4" ht="18">
      <c r="B6" s="6" t="s">
        <v>6</v>
      </c>
      <c r="C6" s="7">
        <v>7</v>
      </c>
      <c r="D6" s="8" t="s">
        <v>7</v>
      </c>
    </row>
    <row r="7" spans="2:4" ht="34">
      <c r="B7" s="6" t="s">
        <v>8</v>
      </c>
      <c r="C7" s="7">
        <v>7</v>
      </c>
      <c r="D7" s="8" t="s">
        <v>9</v>
      </c>
    </row>
    <row r="8" spans="2:4" ht="18">
      <c r="B8" s="6" t="s">
        <v>10</v>
      </c>
      <c r="C8" s="7">
        <v>3</v>
      </c>
      <c r="D8" s="8" t="s">
        <v>11</v>
      </c>
    </row>
    <row r="9" spans="2:4" ht="18">
      <c r="B9" s="6" t="s">
        <v>12</v>
      </c>
      <c r="C9" s="7">
        <v>4</v>
      </c>
      <c r="D9" s="8" t="s">
        <v>13</v>
      </c>
    </row>
    <row r="10" spans="2:4" ht="18">
      <c r="B10" s="6" t="s">
        <v>14</v>
      </c>
      <c r="C10" s="7">
        <v>91</v>
      </c>
      <c r="D10" s="8" t="s">
        <v>15</v>
      </c>
    </row>
    <row r="11" spans="2:4" ht="18">
      <c r="B11" s="6" t="s">
        <v>16</v>
      </c>
      <c r="C11" s="7">
        <v>34</v>
      </c>
      <c r="D11" s="8" t="s">
        <v>17</v>
      </c>
    </row>
    <row r="12" spans="2:4" ht="18">
      <c r="B12" s="6" t="s">
        <v>18</v>
      </c>
      <c r="C12" s="7">
        <v>14</v>
      </c>
      <c r="D12" s="8" t="s">
        <v>19</v>
      </c>
    </row>
    <row r="13" spans="2:4" ht="18">
      <c r="B13" s="6" t="s">
        <v>20</v>
      </c>
      <c r="C13" s="7">
        <v>8</v>
      </c>
      <c r="D13" s="8" t="s">
        <v>21</v>
      </c>
    </row>
    <row r="14" spans="2:4" ht="18">
      <c r="B14" s="6" t="s">
        <v>22</v>
      </c>
      <c r="C14" s="7">
        <v>3</v>
      </c>
      <c r="D14" s="8" t="s">
        <v>23</v>
      </c>
    </row>
    <row r="15" spans="2:4" ht="18">
      <c r="B15" s="6" t="s">
        <v>24</v>
      </c>
      <c r="C15" s="7">
        <v>3</v>
      </c>
      <c r="D15" s="8" t="s">
        <v>25</v>
      </c>
    </row>
    <row r="16" spans="2:4" ht="18">
      <c r="B16" s="6" t="s">
        <v>26</v>
      </c>
      <c r="C16" s="7">
        <v>1</v>
      </c>
      <c r="D16" s="8" t="s">
        <v>27</v>
      </c>
    </row>
    <row r="17" spans="2:4" ht="18">
      <c r="B17" s="6" t="s">
        <v>28</v>
      </c>
      <c r="C17" s="7">
        <v>6</v>
      </c>
      <c r="D17" s="8" t="s">
        <v>29</v>
      </c>
    </row>
    <row r="18" spans="2:4" ht="18">
      <c r="B18" s="9" t="s">
        <v>30</v>
      </c>
      <c r="C18" s="10">
        <f>SUM(C6:C17)</f>
        <v>181</v>
      </c>
      <c r="D18" s="11" t="s">
        <v>31</v>
      </c>
    </row>
    <row r="20" spans="2:4" ht="40">
      <c r="B20" s="3" t="s">
        <v>32</v>
      </c>
      <c r="C20" s="4"/>
      <c r="D20" s="4"/>
    </row>
    <row r="21" spans="2:4" ht="18">
      <c r="B21" s="5" t="s">
        <v>33</v>
      </c>
      <c r="C21" s="5" t="s">
        <v>4</v>
      </c>
      <c r="D21" s="5" t="s">
        <v>5</v>
      </c>
    </row>
    <row r="22" spans="2:4" ht="18">
      <c r="B22" s="12" t="s">
        <v>34</v>
      </c>
      <c r="C22" s="7">
        <f>SUMIF(ページ移行一覧!G:G,"維持",ページ移行一覧!F:F)</f>
        <v>71</v>
      </c>
      <c r="D22" s="8" t="s">
        <v>35</v>
      </c>
    </row>
    <row r="23" spans="2:4" ht="18">
      <c r="B23" s="13" t="s">
        <v>36</v>
      </c>
      <c r="C23" s="7">
        <f>SUMIF(ページ移行一覧!G:G,"改修",ページ移行一覧!F:F)</f>
        <v>99</v>
      </c>
      <c r="D23" s="8" t="s">
        <v>37</v>
      </c>
    </row>
    <row r="24" spans="2:4" ht="18">
      <c r="B24" s="14" t="s">
        <v>38</v>
      </c>
      <c r="C24" s="7">
        <f>SUMIF(ページ移行一覧!G:G,"統合",ページ移行一覧!F:F)</f>
        <v>1</v>
      </c>
      <c r="D24" s="8" t="s">
        <v>39</v>
      </c>
    </row>
    <row r="25" spans="2:4" ht="18">
      <c r="B25" s="15" t="s">
        <v>40</v>
      </c>
      <c r="C25" s="7">
        <f>SUMIF(ページ移行一覧!G:G,"撤去",ページ移行一覧!F:F)</f>
        <v>10</v>
      </c>
      <c r="D25" s="8" t="s">
        <v>41</v>
      </c>
    </row>
    <row r="26" spans="2:4" ht="18">
      <c r="B26" s="16" t="s">
        <v>42</v>
      </c>
      <c r="C26" s="17">
        <f>SUM(C22:C25)</f>
        <v>181</v>
      </c>
      <c r="D26" s="8" t="s">
        <v>43</v>
      </c>
    </row>
    <row r="27" spans="2:4" ht="18">
      <c r="B27" s="18" t="s">
        <v>44</v>
      </c>
      <c r="C27" s="7">
        <f>COUNTA(新規ページ要件!B:B)-1</f>
        <v>5</v>
      </c>
      <c r="D27" s="8" t="s">
        <v>45</v>
      </c>
    </row>
    <row r="28" spans="2:4" ht="18">
      <c r="B28" s="9" t="s">
        <v>46</v>
      </c>
      <c r="C28" s="10">
        <f>C26-C25-C24+C27</f>
        <v>175</v>
      </c>
      <c r="D28" s="11" t="s">
        <v>47</v>
      </c>
    </row>
    <row r="30" spans="2:4" ht="18">
      <c r="B30" s="19" t="s">
        <v>48</v>
      </c>
    </row>
    <row r="31" spans="2:4" ht="18">
      <c r="B31" s="12" t="s">
        <v>34</v>
      </c>
      <c r="C31" s="20"/>
    </row>
    <row r="32" spans="2:4" ht="18">
      <c r="B32" s="13" t="s">
        <v>36</v>
      </c>
      <c r="C32" s="21"/>
    </row>
    <row r="33" spans="2:3" ht="18">
      <c r="B33" s="14" t="s">
        <v>38</v>
      </c>
      <c r="C33" s="22"/>
    </row>
    <row r="34" spans="2:3" ht="18">
      <c r="B34" s="15" t="s">
        <v>40</v>
      </c>
      <c r="C34" s="23"/>
    </row>
    <row r="35" spans="2:3" ht="18">
      <c r="B35" s="18" t="s">
        <v>44</v>
      </c>
      <c r="C35" s="24"/>
    </row>
  </sheetData>
  <phoneticPr fontId="1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7.6640625" defaultRowHeight="14"/>
  <cols>
    <col min="1" max="1" width="4.33203125" customWidth="1"/>
    <col min="2" max="2" width="11.5" customWidth="1"/>
    <col min="3" max="3" width="24.6640625" customWidth="1"/>
    <col min="4" max="4" width="15.83203125" customWidth="1"/>
    <col min="5" max="5" width="26.5" customWidth="1"/>
    <col min="6" max="6" width="5.33203125" customWidth="1"/>
    <col min="7" max="7" width="7" customWidth="1"/>
    <col min="8" max="8" width="26.5" customWidth="1"/>
    <col min="9" max="9" width="15.83203125" customWidth="1"/>
  </cols>
  <sheetData>
    <row r="1" spans="1:9" ht="18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4</v>
      </c>
      <c r="G1" s="5" t="s">
        <v>33</v>
      </c>
      <c r="H1" s="5" t="s">
        <v>54</v>
      </c>
      <c r="I1" s="5" t="s">
        <v>55</v>
      </c>
    </row>
    <row r="2" spans="1:9" ht="34">
      <c r="A2" s="25">
        <v>1</v>
      </c>
      <c r="B2" s="26" t="s">
        <v>6</v>
      </c>
      <c r="C2" s="26" t="s">
        <v>56</v>
      </c>
      <c r="D2" s="26" t="s">
        <v>57</v>
      </c>
      <c r="E2" s="26" t="s">
        <v>58</v>
      </c>
      <c r="F2" s="25">
        <v>1</v>
      </c>
      <c r="G2" s="27" t="s">
        <v>36</v>
      </c>
      <c r="H2" s="26" t="s">
        <v>59</v>
      </c>
      <c r="I2" s="26" t="s">
        <v>60</v>
      </c>
    </row>
    <row r="3" spans="1:9" ht="34">
      <c r="A3" s="25">
        <v>2</v>
      </c>
      <c r="B3" s="26" t="s">
        <v>6</v>
      </c>
      <c r="C3" s="26" t="s">
        <v>61</v>
      </c>
      <c r="D3" s="26" t="s">
        <v>62</v>
      </c>
      <c r="E3" s="26" t="s">
        <v>63</v>
      </c>
      <c r="F3" s="25">
        <v>1</v>
      </c>
      <c r="G3" s="27" t="s">
        <v>36</v>
      </c>
      <c r="H3" s="26" t="s">
        <v>64</v>
      </c>
      <c r="I3" s="26"/>
    </row>
    <row r="4" spans="1:9" ht="34">
      <c r="A4" s="25">
        <v>3</v>
      </c>
      <c r="B4" s="26" t="s">
        <v>6</v>
      </c>
      <c r="C4" s="26" t="s">
        <v>65</v>
      </c>
      <c r="D4" s="26" t="s">
        <v>66</v>
      </c>
      <c r="E4" s="26" t="s">
        <v>67</v>
      </c>
      <c r="F4" s="25">
        <v>1</v>
      </c>
      <c r="G4" s="28" t="s">
        <v>34</v>
      </c>
      <c r="H4" s="26"/>
      <c r="I4" s="26"/>
    </row>
    <row r="5" spans="1:9" ht="17">
      <c r="A5" s="25">
        <v>4</v>
      </c>
      <c r="B5" s="26" t="s">
        <v>6</v>
      </c>
      <c r="C5" s="26" t="s">
        <v>68</v>
      </c>
      <c r="D5" s="26" t="s">
        <v>69</v>
      </c>
      <c r="E5" s="26" t="s">
        <v>70</v>
      </c>
      <c r="F5" s="25">
        <v>1</v>
      </c>
      <c r="G5" s="28" t="s">
        <v>34</v>
      </c>
      <c r="H5" s="26"/>
      <c r="I5" s="26"/>
    </row>
    <row r="6" spans="1:9" ht="17">
      <c r="A6" s="25">
        <v>5</v>
      </c>
      <c r="B6" s="26" t="s">
        <v>6</v>
      </c>
      <c r="C6" s="26" t="s">
        <v>71</v>
      </c>
      <c r="D6" s="26" t="s">
        <v>72</v>
      </c>
      <c r="E6" s="26" t="s">
        <v>73</v>
      </c>
      <c r="F6" s="25">
        <v>1</v>
      </c>
      <c r="G6" s="28" t="s">
        <v>34</v>
      </c>
      <c r="H6" s="26" t="s">
        <v>74</v>
      </c>
      <c r="I6" s="26" t="s">
        <v>75</v>
      </c>
    </row>
    <row r="7" spans="1:9" ht="17">
      <c r="A7" s="25">
        <v>6</v>
      </c>
      <c r="B7" s="26" t="s">
        <v>6</v>
      </c>
      <c r="C7" s="26" t="s">
        <v>76</v>
      </c>
      <c r="D7" s="26" t="s">
        <v>77</v>
      </c>
      <c r="E7" s="26" t="s">
        <v>78</v>
      </c>
      <c r="F7" s="25">
        <v>1</v>
      </c>
      <c r="G7" s="28" t="s">
        <v>34</v>
      </c>
      <c r="H7" s="26" t="s">
        <v>74</v>
      </c>
      <c r="I7" s="26" t="s">
        <v>75</v>
      </c>
    </row>
    <row r="8" spans="1:9" ht="17">
      <c r="A8" s="25">
        <v>7</v>
      </c>
      <c r="B8" s="26" t="s">
        <v>6</v>
      </c>
      <c r="C8" s="26" t="s">
        <v>79</v>
      </c>
      <c r="D8" s="26" t="s">
        <v>80</v>
      </c>
      <c r="E8" s="26" t="s">
        <v>81</v>
      </c>
      <c r="F8" s="25">
        <v>1</v>
      </c>
      <c r="G8" s="28" t="s">
        <v>34</v>
      </c>
      <c r="H8" s="26" t="s">
        <v>74</v>
      </c>
      <c r="I8" s="26" t="s">
        <v>75</v>
      </c>
    </row>
    <row r="9" spans="1:9" ht="17">
      <c r="A9" s="25">
        <v>8</v>
      </c>
      <c r="B9" s="26" t="s">
        <v>82</v>
      </c>
      <c r="C9" s="26" t="s">
        <v>83</v>
      </c>
      <c r="D9" s="26" t="s">
        <v>84</v>
      </c>
      <c r="E9" s="26" t="s">
        <v>85</v>
      </c>
      <c r="F9" s="25">
        <v>1</v>
      </c>
      <c r="G9" s="27" t="s">
        <v>36</v>
      </c>
      <c r="H9" s="26"/>
      <c r="I9" s="26"/>
    </row>
    <row r="10" spans="1:9" ht="17">
      <c r="A10" s="25">
        <v>9</v>
      </c>
      <c r="B10" s="26" t="s">
        <v>82</v>
      </c>
      <c r="C10" s="26" t="s">
        <v>86</v>
      </c>
      <c r="D10" s="26" t="s">
        <v>87</v>
      </c>
      <c r="E10" s="26" t="s">
        <v>88</v>
      </c>
      <c r="F10" s="25">
        <v>1</v>
      </c>
      <c r="G10" s="28" t="s">
        <v>34</v>
      </c>
      <c r="H10" s="26"/>
      <c r="I10" s="26"/>
    </row>
    <row r="11" spans="1:9" ht="17">
      <c r="A11" s="25">
        <v>10</v>
      </c>
      <c r="B11" s="26" t="s">
        <v>82</v>
      </c>
      <c r="C11" s="26" t="s">
        <v>89</v>
      </c>
      <c r="D11" s="26" t="s">
        <v>90</v>
      </c>
      <c r="E11" s="26" t="s">
        <v>91</v>
      </c>
      <c r="F11" s="25">
        <v>1</v>
      </c>
      <c r="G11" s="28" t="s">
        <v>34</v>
      </c>
      <c r="H11" s="26"/>
      <c r="I11" s="26"/>
    </row>
    <row r="12" spans="1:9" ht="17">
      <c r="A12" s="25">
        <v>11</v>
      </c>
      <c r="B12" s="26" t="s">
        <v>82</v>
      </c>
      <c r="C12" s="26" t="s">
        <v>92</v>
      </c>
      <c r="D12" s="26" t="s">
        <v>93</v>
      </c>
      <c r="E12" s="26" t="s">
        <v>94</v>
      </c>
      <c r="F12" s="25">
        <v>1</v>
      </c>
      <c r="G12" s="29" t="s">
        <v>38</v>
      </c>
      <c r="H12" s="26" t="s">
        <v>95</v>
      </c>
      <c r="I12" s="26" t="s">
        <v>96</v>
      </c>
    </row>
    <row r="13" spans="1:9" ht="17">
      <c r="A13" s="25">
        <v>12</v>
      </c>
      <c r="B13" s="26" t="s">
        <v>82</v>
      </c>
      <c r="C13" s="26" t="s">
        <v>97</v>
      </c>
      <c r="D13" s="26" t="s">
        <v>98</v>
      </c>
      <c r="E13" s="26" t="s">
        <v>99</v>
      </c>
      <c r="F13" s="25">
        <v>1</v>
      </c>
      <c r="G13" s="28" t="s">
        <v>34</v>
      </c>
      <c r="H13" s="26"/>
      <c r="I13" s="26"/>
    </row>
    <row r="14" spans="1:9" ht="17">
      <c r="A14" s="25">
        <v>13</v>
      </c>
      <c r="B14" s="26" t="s">
        <v>82</v>
      </c>
      <c r="C14" s="26" t="s">
        <v>100</v>
      </c>
      <c r="D14" s="26" t="s">
        <v>101</v>
      </c>
      <c r="E14" s="26" t="s">
        <v>102</v>
      </c>
      <c r="F14" s="25">
        <v>1</v>
      </c>
      <c r="G14" s="27" t="s">
        <v>36</v>
      </c>
      <c r="H14" s="26" t="s">
        <v>103</v>
      </c>
      <c r="I14" s="26" t="s">
        <v>104</v>
      </c>
    </row>
    <row r="15" spans="1:9" ht="17">
      <c r="A15" s="25">
        <v>14</v>
      </c>
      <c r="B15" s="26" t="s">
        <v>82</v>
      </c>
      <c r="C15" s="26" t="s">
        <v>105</v>
      </c>
      <c r="D15" s="26" t="s">
        <v>106</v>
      </c>
      <c r="E15" s="26" t="s">
        <v>107</v>
      </c>
      <c r="F15" s="25">
        <v>1</v>
      </c>
      <c r="G15" s="27" t="s">
        <v>36</v>
      </c>
      <c r="H15" s="26" t="s">
        <v>108</v>
      </c>
      <c r="I15" s="26" t="s">
        <v>109</v>
      </c>
    </row>
    <row r="16" spans="1:9" ht="17">
      <c r="A16" s="25">
        <v>15</v>
      </c>
      <c r="B16" s="26" t="s">
        <v>10</v>
      </c>
      <c r="C16" s="26" t="s">
        <v>110</v>
      </c>
      <c r="D16" s="26" t="s">
        <v>111</v>
      </c>
      <c r="E16" s="26" t="s">
        <v>112</v>
      </c>
      <c r="F16" s="25">
        <v>1</v>
      </c>
      <c r="G16" s="28" t="s">
        <v>34</v>
      </c>
      <c r="H16" s="26"/>
      <c r="I16" s="26"/>
    </row>
    <row r="17" spans="1:9" ht="17">
      <c r="A17" s="25">
        <v>16</v>
      </c>
      <c r="B17" s="26" t="s">
        <v>10</v>
      </c>
      <c r="C17" s="26" t="s">
        <v>113</v>
      </c>
      <c r="D17" s="26" t="s">
        <v>114</v>
      </c>
      <c r="E17" s="26" t="s">
        <v>115</v>
      </c>
      <c r="F17" s="25">
        <v>1</v>
      </c>
      <c r="G17" s="28" t="s">
        <v>34</v>
      </c>
      <c r="H17" s="26"/>
      <c r="I17" s="26"/>
    </row>
    <row r="18" spans="1:9" ht="17">
      <c r="A18" s="25">
        <v>17</v>
      </c>
      <c r="B18" s="26" t="s">
        <v>10</v>
      </c>
      <c r="C18" s="26" t="s">
        <v>116</v>
      </c>
      <c r="D18" s="26" t="s">
        <v>117</v>
      </c>
      <c r="E18" s="26" t="s">
        <v>118</v>
      </c>
      <c r="F18" s="25">
        <v>1</v>
      </c>
      <c r="G18" s="28" t="s">
        <v>34</v>
      </c>
      <c r="H18" s="26"/>
      <c r="I18" s="26"/>
    </row>
    <row r="19" spans="1:9" ht="17">
      <c r="A19" s="25">
        <v>18</v>
      </c>
      <c r="B19" s="26" t="s">
        <v>12</v>
      </c>
      <c r="C19" s="26" t="s">
        <v>119</v>
      </c>
      <c r="D19" s="26" t="s">
        <v>120</v>
      </c>
      <c r="E19" s="26" t="s">
        <v>121</v>
      </c>
      <c r="F19" s="25">
        <v>1</v>
      </c>
      <c r="G19" s="28" t="s">
        <v>34</v>
      </c>
      <c r="H19" s="26"/>
      <c r="I19" s="26"/>
    </row>
    <row r="20" spans="1:9" ht="17">
      <c r="A20" s="25">
        <v>19</v>
      </c>
      <c r="B20" s="26" t="s">
        <v>12</v>
      </c>
      <c r="C20" s="26" t="s">
        <v>122</v>
      </c>
      <c r="D20" s="26" t="s">
        <v>123</v>
      </c>
      <c r="E20" s="26" t="s">
        <v>124</v>
      </c>
      <c r="F20" s="25">
        <v>1</v>
      </c>
      <c r="G20" s="28" t="s">
        <v>34</v>
      </c>
      <c r="H20" s="26"/>
      <c r="I20" s="26"/>
    </row>
    <row r="21" spans="1:9" ht="17">
      <c r="A21" s="25">
        <v>20</v>
      </c>
      <c r="B21" s="26" t="s">
        <v>12</v>
      </c>
      <c r="C21" s="26" t="s">
        <v>125</v>
      </c>
      <c r="D21" s="26" t="s">
        <v>126</v>
      </c>
      <c r="E21" s="26" t="s">
        <v>127</v>
      </c>
      <c r="F21" s="25">
        <v>1</v>
      </c>
      <c r="G21" s="28" t="s">
        <v>34</v>
      </c>
      <c r="H21" s="26"/>
      <c r="I21" s="26"/>
    </row>
    <row r="22" spans="1:9" ht="17">
      <c r="A22" s="25">
        <v>21</v>
      </c>
      <c r="B22" s="26" t="s">
        <v>12</v>
      </c>
      <c r="C22" s="26" t="s">
        <v>128</v>
      </c>
      <c r="D22" s="26" t="s">
        <v>129</v>
      </c>
      <c r="E22" s="26" t="s">
        <v>130</v>
      </c>
      <c r="F22" s="25">
        <v>1</v>
      </c>
      <c r="G22" s="28" t="s">
        <v>34</v>
      </c>
      <c r="H22" s="26"/>
      <c r="I22" s="26"/>
    </row>
    <row r="23" spans="1:9" ht="34">
      <c r="A23" s="25">
        <v>22</v>
      </c>
      <c r="B23" s="26" t="s">
        <v>131</v>
      </c>
      <c r="C23" s="26" t="s">
        <v>132</v>
      </c>
      <c r="D23" s="26" t="s">
        <v>14</v>
      </c>
      <c r="E23" s="26" t="s">
        <v>133</v>
      </c>
      <c r="F23" s="25">
        <v>91</v>
      </c>
      <c r="G23" s="27" t="s">
        <v>36</v>
      </c>
      <c r="H23" s="26" t="s">
        <v>134</v>
      </c>
      <c r="I23" s="26" t="s">
        <v>135</v>
      </c>
    </row>
    <row r="24" spans="1:9" ht="17">
      <c r="A24" s="25">
        <v>23</v>
      </c>
      <c r="B24" s="26" t="s">
        <v>131</v>
      </c>
      <c r="C24" s="26" t="s">
        <v>136</v>
      </c>
      <c r="D24" s="26" t="s">
        <v>16</v>
      </c>
      <c r="E24" s="26" t="s">
        <v>17</v>
      </c>
      <c r="F24" s="25">
        <v>34</v>
      </c>
      <c r="G24" s="28" t="s">
        <v>34</v>
      </c>
      <c r="H24" s="26" t="s">
        <v>137</v>
      </c>
      <c r="I24" s="26"/>
    </row>
    <row r="25" spans="1:9" ht="17">
      <c r="A25" s="25">
        <v>24</v>
      </c>
      <c r="B25" s="26" t="s">
        <v>131</v>
      </c>
      <c r="C25" s="26" t="s">
        <v>138</v>
      </c>
      <c r="D25" s="26" t="s">
        <v>18</v>
      </c>
      <c r="E25" s="26" t="s">
        <v>19</v>
      </c>
      <c r="F25" s="25">
        <v>14</v>
      </c>
      <c r="G25" s="28" t="s">
        <v>34</v>
      </c>
      <c r="H25" s="26"/>
      <c r="I25" s="26"/>
    </row>
    <row r="26" spans="1:9" ht="17">
      <c r="A26" s="25">
        <v>25</v>
      </c>
      <c r="B26" s="26" t="s">
        <v>131</v>
      </c>
      <c r="C26" s="26" t="s">
        <v>139</v>
      </c>
      <c r="D26" s="26" t="s">
        <v>20</v>
      </c>
      <c r="E26" s="26" t="s">
        <v>21</v>
      </c>
      <c r="F26" s="25">
        <v>8</v>
      </c>
      <c r="G26" s="28" t="s">
        <v>34</v>
      </c>
      <c r="H26" s="26" t="s">
        <v>140</v>
      </c>
      <c r="I26" s="26"/>
    </row>
    <row r="27" spans="1:9" ht="17">
      <c r="A27" s="25">
        <v>26</v>
      </c>
      <c r="B27" s="26" t="s">
        <v>131</v>
      </c>
      <c r="C27" s="26" t="s">
        <v>141</v>
      </c>
      <c r="D27" s="26" t="s">
        <v>22</v>
      </c>
      <c r="E27" s="26" t="s">
        <v>142</v>
      </c>
      <c r="F27" s="25">
        <v>3</v>
      </c>
      <c r="G27" s="30" t="s">
        <v>40</v>
      </c>
      <c r="H27" s="26" t="s">
        <v>143</v>
      </c>
      <c r="I27" s="26"/>
    </row>
    <row r="28" spans="1:9" ht="17">
      <c r="A28" s="25">
        <v>27</v>
      </c>
      <c r="B28" s="26" t="s">
        <v>144</v>
      </c>
      <c r="C28" s="26" t="s">
        <v>145</v>
      </c>
      <c r="D28" s="26" t="s">
        <v>146</v>
      </c>
      <c r="E28" s="26" t="s">
        <v>147</v>
      </c>
      <c r="F28" s="25">
        <v>3</v>
      </c>
      <c r="G28" s="27" t="s">
        <v>36</v>
      </c>
      <c r="H28" s="26" t="s">
        <v>148</v>
      </c>
      <c r="I28" s="26"/>
    </row>
    <row r="29" spans="1:9" ht="17">
      <c r="A29" s="25">
        <v>28</v>
      </c>
      <c r="B29" s="26" t="s">
        <v>144</v>
      </c>
      <c r="C29" s="26" t="s">
        <v>149</v>
      </c>
      <c r="D29" s="26" t="s">
        <v>150</v>
      </c>
      <c r="E29" s="26" t="s">
        <v>151</v>
      </c>
      <c r="F29" s="25">
        <v>1</v>
      </c>
      <c r="G29" s="30" t="s">
        <v>40</v>
      </c>
      <c r="H29" s="26"/>
      <c r="I29" s="26" t="s">
        <v>152</v>
      </c>
    </row>
    <row r="30" spans="1:9" ht="17">
      <c r="A30" s="25">
        <v>29</v>
      </c>
      <c r="B30" s="26" t="s">
        <v>144</v>
      </c>
      <c r="C30" s="26" t="s">
        <v>153</v>
      </c>
      <c r="D30" s="26" t="s">
        <v>154</v>
      </c>
      <c r="E30" s="26" t="s">
        <v>29</v>
      </c>
      <c r="F30" s="25">
        <v>6</v>
      </c>
      <c r="G30" s="30" t="s">
        <v>40</v>
      </c>
      <c r="H30" s="26" t="s">
        <v>155</v>
      </c>
      <c r="I30" s="26" t="s">
        <v>156</v>
      </c>
    </row>
    <row r="31" spans="1:9" ht="18">
      <c r="A31" s="31"/>
      <c r="B31" s="31"/>
      <c r="C31" s="31"/>
      <c r="D31" s="31"/>
      <c r="E31" s="32" t="s">
        <v>157</v>
      </c>
      <c r="F31" s="10">
        <f>SUM(F2:F30)</f>
        <v>181</v>
      </c>
      <c r="G31" s="31"/>
      <c r="H31" s="31"/>
      <c r="I31" s="31"/>
    </row>
  </sheetData>
  <autoFilter ref="A1:I30" xr:uid="{00000000-0009-0000-0000-000001000000}"/>
  <phoneticPr fontId="1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pane ySplit="1" topLeftCell="A2" activePane="bottomLeft" state="frozen"/>
      <selection pane="bottomLeft" activeCell="F18" sqref="F18"/>
    </sheetView>
  </sheetViews>
  <sheetFormatPr baseColWidth="10" defaultColWidth="7.6640625" defaultRowHeight="14"/>
  <cols>
    <col min="1" max="1" width="4.33203125" customWidth="1"/>
    <col min="2" max="2" width="15.83203125" customWidth="1"/>
    <col min="3" max="3" width="22.83203125" customWidth="1"/>
    <col min="4" max="4" width="24.6640625" customWidth="1"/>
    <col min="5" max="5" width="26.5" customWidth="1"/>
    <col min="6" max="6" width="7" customWidth="1"/>
    <col min="7" max="7" width="22.83203125" customWidth="1"/>
  </cols>
  <sheetData>
    <row r="1" spans="1:7" ht="18">
      <c r="A1" s="5" t="s">
        <v>49</v>
      </c>
      <c r="B1" s="5" t="s">
        <v>52</v>
      </c>
      <c r="C1" s="5" t="s">
        <v>158</v>
      </c>
      <c r="D1" s="5" t="s">
        <v>159</v>
      </c>
      <c r="E1" s="5" t="s">
        <v>160</v>
      </c>
      <c r="F1" s="5" t="s">
        <v>161</v>
      </c>
      <c r="G1" s="5" t="s">
        <v>55</v>
      </c>
    </row>
    <row r="2" spans="1:7" ht="17">
      <c r="A2" s="25">
        <v>1</v>
      </c>
      <c r="B2" s="33" t="s">
        <v>162</v>
      </c>
      <c r="C2" s="26" t="s">
        <v>163</v>
      </c>
      <c r="D2" s="26" t="s">
        <v>164</v>
      </c>
      <c r="E2" s="26" t="s">
        <v>165</v>
      </c>
      <c r="F2" s="34" t="s">
        <v>166</v>
      </c>
      <c r="G2" s="26" t="s">
        <v>167</v>
      </c>
    </row>
    <row r="3" spans="1:7" ht="34">
      <c r="A3" s="25">
        <v>2</v>
      </c>
      <c r="B3" s="33" t="s">
        <v>168</v>
      </c>
      <c r="C3" s="26" t="s">
        <v>169</v>
      </c>
      <c r="D3" s="26" t="s">
        <v>170</v>
      </c>
      <c r="E3" s="26" t="s">
        <v>171</v>
      </c>
      <c r="F3" s="34" t="s">
        <v>166</v>
      </c>
      <c r="G3" s="26" t="s">
        <v>172</v>
      </c>
    </row>
    <row r="4" spans="1:7" ht="17">
      <c r="A4" s="25">
        <v>3</v>
      </c>
      <c r="B4" s="33" t="s">
        <v>173</v>
      </c>
      <c r="C4" s="26" t="s">
        <v>174</v>
      </c>
      <c r="D4" s="26" t="s">
        <v>175</v>
      </c>
      <c r="E4" s="26" t="s">
        <v>176</v>
      </c>
      <c r="F4" s="35" t="s">
        <v>177</v>
      </c>
      <c r="G4" s="26" t="s">
        <v>178</v>
      </c>
    </row>
    <row r="5" spans="1:7" ht="17">
      <c r="A5" s="25">
        <v>4</v>
      </c>
      <c r="B5" s="33" t="s">
        <v>179</v>
      </c>
      <c r="C5" s="26" t="s">
        <v>180</v>
      </c>
      <c r="D5" s="26" t="s">
        <v>181</v>
      </c>
      <c r="E5" s="26" t="s">
        <v>182</v>
      </c>
      <c r="F5" s="35" t="s">
        <v>177</v>
      </c>
      <c r="G5" s="26" t="s">
        <v>183</v>
      </c>
    </row>
    <row r="6" spans="1:7" ht="17">
      <c r="A6" s="25">
        <v>5</v>
      </c>
      <c r="B6" s="33" t="s">
        <v>184</v>
      </c>
      <c r="C6" s="26" t="s">
        <v>185</v>
      </c>
      <c r="D6" s="26" t="s">
        <v>186</v>
      </c>
      <c r="E6" s="26" t="s">
        <v>187</v>
      </c>
      <c r="F6" s="34" t="s">
        <v>166</v>
      </c>
      <c r="G6" s="26" t="s">
        <v>188</v>
      </c>
    </row>
  </sheetData>
  <phoneticPr fontId="1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サマリー</vt:lpstr>
      <vt:lpstr>ページ移行一覧</vt:lpstr>
      <vt:lpstr>新規ページ要件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龍之介 甲斐</cp:lastModifiedBy>
  <cp:revision>0</cp:revision>
  <dcterms:created xsi:type="dcterms:W3CDTF">2026-06-04T08:08:01Z</dcterms:created>
  <dcterms:modified xsi:type="dcterms:W3CDTF">2026-06-04T08:27:42Z</dcterms:modified>
  <dc:language>ja-JP</dc:language>
</cp:coreProperties>
</file>